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KRANT\Desktop\saas-recurring-revenue-intelligence\excel\"/>
    </mc:Choice>
  </mc:AlternateContent>
  <xr:revisionPtr revIDLastSave="0" documentId="13_ncr:1_{8BC0AB1F-4E91-4C89-B72E-D4FACFCC9610}" xr6:coauthVersionLast="47" xr6:coauthVersionMax="47" xr10:uidLastSave="{00000000-0000-0000-0000-000000000000}"/>
  <bookViews>
    <workbookView xWindow="-120" yWindow="-120" windowWidth="20730" windowHeight="11760" xr2:uid="{CFD9B992-EC00-4693-BCE5-4F572463D3D1}"/>
  </bookViews>
  <sheets>
    <sheet name="01_MRR_Forecast_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4" i="1" l="1"/>
  <c r="A15" i="1" s="1"/>
  <c r="A16" i="1" s="1"/>
  <c r="A17" i="1" s="1"/>
  <c r="A18" i="1" s="1"/>
  <c r="A19" i="1" s="1"/>
  <c r="A20" i="1" s="1"/>
  <c r="A21" i="1" s="1"/>
  <c r="A22" i="1" s="1"/>
  <c r="A23" i="1" s="1"/>
  <c r="C14" i="1"/>
  <c r="C15" i="1"/>
  <c r="C16" i="1"/>
  <c r="C17" i="1"/>
  <c r="C18" i="1"/>
  <c r="C19" i="1"/>
  <c r="C20" i="1"/>
  <c r="C21" i="1"/>
  <c r="C22" i="1"/>
  <c r="C23" i="1"/>
  <c r="C13" i="1"/>
  <c r="A13" i="1"/>
  <c r="C12" i="1"/>
  <c r="B12" i="1"/>
  <c r="D12" i="1" l="1"/>
  <c r="E12" i="1"/>
  <c r="F12" i="1" l="1"/>
  <c r="B13" i="1"/>
  <c r="E13" i="1" s="1"/>
  <c r="H12" i="1"/>
  <c r="G12" i="1"/>
  <c r="D13" i="1"/>
  <c r="F13" i="1" l="1"/>
  <c r="G13" i="1" s="1"/>
  <c r="H13" i="1" l="1"/>
  <c r="B14" i="1"/>
  <c r="E14" i="1" l="1"/>
  <c r="D14" i="1"/>
  <c r="F14" i="1"/>
  <c r="B15" i="1"/>
  <c r="H14" i="1" l="1"/>
  <c r="G14" i="1"/>
  <c r="D15" i="1"/>
  <c r="E15" i="1"/>
  <c r="F15" i="1" l="1"/>
  <c r="B16" i="1" l="1"/>
  <c r="H15" i="1"/>
  <c r="G15" i="1"/>
  <c r="D16" i="1" l="1"/>
  <c r="F16" i="1" s="1"/>
  <c r="E16" i="1"/>
  <c r="B17" i="1" l="1"/>
  <c r="H16" i="1"/>
  <c r="G16" i="1"/>
  <c r="D17" i="1" l="1"/>
  <c r="E17" i="1"/>
  <c r="F17" i="1" l="1"/>
  <c r="G17" i="1" l="1"/>
  <c r="H17" i="1"/>
  <c r="B18" i="1"/>
  <c r="D18" i="1" l="1"/>
  <c r="E18" i="1"/>
  <c r="F18" i="1" l="1"/>
  <c r="B19" i="1" l="1"/>
  <c r="H18" i="1"/>
  <c r="G18" i="1"/>
  <c r="D19" i="1" l="1"/>
  <c r="F19" i="1" s="1"/>
  <c r="E19" i="1"/>
  <c r="H19" i="1" l="1"/>
  <c r="B20" i="1"/>
  <c r="G19" i="1"/>
  <c r="E20" i="1" l="1"/>
  <c r="D20" i="1"/>
  <c r="F20" i="1" l="1"/>
  <c r="H20" i="1"/>
  <c r="B21" i="1" l="1"/>
  <c r="E21" i="1" s="1"/>
  <c r="F21" i="1" s="1"/>
  <c r="G20" i="1"/>
  <c r="D21" i="1"/>
  <c r="B22" i="1" l="1"/>
  <c r="H21" i="1"/>
  <c r="G21" i="1"/>
  <c r="D22" i="1" l="1"/>
  <c r="F22" i="1" s="1"/>
  <c r="E22" i="1"/>
  <c r="G22" i="1" l="1"/>
  <c r="B23" i="1"/>
  <c r="H22" i="1"/>
  <c r="D23" i="1" l="1"/>
  <c r="E23" i="1"/>
  <c r="F23" i="1" l="1"/>
  <c r="G23" i="1"/>
  <c r="E5" i="1" l="1"/>
  <c r="H23" i="1"/>
  <c r="E4" i="1"/>
  <c r="E3" i="1"/>
  <c r="J11" i="1"/>
</calcChain>
</file>

<file path=xl/sharedStrings.xml><?xml version="1.0" encoding="utf-8"?>
<sst xmlns="http://schemas.openxmlformats.org/spreadsheetml/2006/main" count="19" uniqueCount="18">
  <si>
    <t>Current Baseline MRR</t>
  </si>
  <si>
    <t>Monthly New Acquisition MRR</t>
  </si>
  <si>
    <t>Monthly Expansion Rate</t>
  </si>
  <si>
    <t>Monthly Gross Churn Rate</t>
  </si>
  <si>
    <t>Monthly Operational Burn Rate</t>
  </si>
  <si>
    <t>Current Cash Balance</t>
  </si>
  <si>
    <t>Month</t>
  </si>
  <si>
    <t>Starting MRR</t>
  </si>
  <si>
    <t>New MRR</t>
  </si>
  <si>
    <t>Expansion MRR</t>
  </si>
  <si>
    <t>Churn MRR</t>
  </si>
  <si>
    <t>Ending MRR</t>
  </si>
  <si>
    <t>Ending ARR</t>
  </si>
  <si>
    <t>Net Burn / (Surplus)</t>
  </si>
  <si>
    <t>Projected Ending ARR</t>
  </si>
  <si>
    <t>12-Month Net Revenue Retention (NRR)</t>
  </si>
  <si>
    <t>Net ARR Expansion Added</t>
  </si>
  <si>
    <t>Churn \ Expansion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</si>
</sst>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71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6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/>
    <xf numFmtId="6" fontId="0" fillId="0" borderId="0" xfId="0" applyNumberFormat="1" applyAlignment="1"/>
    <xf numFmtId="171" fontId="0" fillId="0" borderId="0" xfId="0" applyNumberFormat="1" applyAlignment="1"/>
    <xf numFmtId="10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150FD-C8C2-4BDB-9A8A-4FC18A531B77}">
  <dimension ref="A2:O23"/>
  <sheetViews>
    <sheetView tabSelected="1" zoomScale="80" zoomScaleNormal="80" workbookViewId="0">
      <selection activeCell="J4" sqref="J4"/>
    </sheetView>
  </sheetViews>
  <sheetFormatPr defaultRowHeight="15" x14ac:dyDescent="0.25"/>
  <cols>
    <col min="1" max="1" width="22" customWidth="1"/>
    <col min="2" max="2" width="18.28515625" customWidth="1"/>
    <col min="3" max="3" width="10.7109375" customWidth="1"/>
    <col min="4" max="4" width="24.85546875" customWidth="1"/>
    <col min="5" max="5" width="14.42578125" customWidth="1"/>
    <col min="6" max="6" width="13.85546875" customWidth="1"/>
    <col min="7" max="7" width="14.28515625" customWidth="1"/>
    <col min="8" max="8" width="17.7109375" customWidth="1"/>
    <col min="9" max="9" width="3.28515625" customWidth="1"/>
    <col min="10" max="10" width="18.28515625" customWidth="1"/>
    <col min="11" max="12" width="14.5703125" bestFit="1" customWidth="1"/>
    <col min="13" max="13" width="14.7109375" customWidth="1"/>
    <col min="14" max="15" width="14.5703125" bestFit="1" customWidth="1"/>
  </cols>
  <sheetData>
    <row r="2" spans="1:15" ht="12" customHeight="1" x14ac:dyDescent="0.25"/>
    <row r="3" spans="1:15" ht="18" customHeight="1" x14ac:dyDescent="0.25">
      <c r="A3" s="6" t="s">
        <v>0</v>
      </c>
      <c r="B3" s="8">
        <v>4293212</v>
      </c>
      <c r="C3" s="7"/>
      <c r="D3" s="6" t="s">
        <v>14</v>
      </c>
      <c r="E3" s="9">
        <f>$G$23</f>
        <v>70230827.012103334</v>
      </c>
    </row>
    <row r="4" spans="1:15" ht="27.75" customHeight="1" x14ac:dyDescent="0.25">
      <c r="A4" s="6" t="s">
        <v>1</v>
      </c>
      <c r="B4" s="8">
        <v>85000</v>
      </c>
      <c r="C4" s="7"/>
      <c r="D4" s="6" t="s">
        <v>15</v>
      </c>
      <c r="E4" s="9" t="str">
        <f>_xlfn.LET(_xlpm.startMRR, B12, _xlpm.retainedMRR, F23 - SUM(C12:C23), ROUND((_xlpm.retainedMRR / _xlpm.startMRR) * 100, 1) &amp; "%")</f>
        <v>112.6%</v>
      </c>
    </row>
    <row r="5" spans="1:15" ht="19.5" customHeight="1" x14ac:dyDescent="0.25">
      <c r="A5" s="6" t="s">
        <v>2</v>
      </c>
      <c r="B5" s="10">
        <v>2.8000000000000001E-2</v>
      </c>
      <c r="C5" s="7"/>
      <c r="D5" s="6" t="s">
        <v>16</v>
      </c>
      <c r="E5" s="9">
        <f>(F23 - B12) * 12</f>
        <v>18712283.012103338</v>
      </c>
    </row>
    <row r="6" spans="1:15" ht="27.75" customHeight="1" x14ac:dyDescent="0.25">
      <c r="A6" s="6" t="s">
        <v>3</v>
      </c>
      <c r="B6" s="10">
        <v>1.9E-2</v>
      </c>
      <c r="C6" s="7"/>
      <c r="D6" s="7"/>
      <c r="E6" s="7"/>
    </row>
    <row r="7" spans="1:15" ht="30" x14ac:dyDescent="0.25">
      <c r="A7" s="6" t="s">
        <v>4</v>
      </c>
      <c r="B7" s="8">
        <v>3800000</v>
      </c>
      <c r="C7" s="7"/>
      <c r="D7" s="7"/>
      <c r="E7" s="7"/>
    </row>
    <row r="8" spans="1:15" x14ac:dyDescent="0.25">
      <c r="A8" s="6" t="s">
        <v>5</v>
      </c>
      <c r="B8" s="8">
        <v>45000000</v>
      </c>
      <c r="C8" s="7"/>
      <c r="D8" s="7"/>
      <c r="E8" s="7"/>
    </row>
    <row r="10" spans="1:15" ht="15.75" x14ac:dyDescent="0.25">
      <c r="J10" s="5" t="s">
        <v>17</v>
      </c>
      <c r="L10" s="4" t="s">
        <v>2</v>
      </c>
      <c r="M10" s="4"/>
      <c r="N10" s="4"/>
    </row>
    <row r="11" spans="1:15" x14ac:dyDescent="0.25">
      <c r="A11" s="3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 t="s">
        <v>13</v>
      </c>
      <c r="J11" s="1">
        <f>G23</f>
        <v>70230827.012103334</v>
      </c>
      <c r="K11" s="2">
        <v>1.4999999999999999E-2</v>
      </c>
      <c r="L11" s="2">
        <v>0.02</v>
      </c>
      <c r="M11" s="2">
        <v>2.8000000000000001E-2</v>
      </c>
      <c r="N11" s="2">
        <v>3.5000000000000003E-2</v>
      </c>
      <c r="O11" s="2">
        <v>4.4999999999999998E-2</v>
      </c>
    </row>
    <row r="12" spans="1:15" x14ac:dyDescent="0.25">
      <c r="A12">
        <v>1</v>
      </c>
      <c r="B12" s="1">
        <f>$B$3</f>
        <v>4293212</v>
      </c>
      <c r="C12" s="1">
        <f>$B$4</f>
        <v>85000</v>
      </c>
      <c r="D12" s="1">
        <f>B12 * $B$5</f>
        <v>120209.936</v>
      </c>
      <c r="E12" s="1">
        <f>B12 * $B$6</f>
        <v>81571.027999999991</v>
      </c>
      <c r="F12" s="1">
        <f>B12 + C12 + D12 - E12</f>
        <v>4416850.9079999998</v>
      </c>
      <c r="G12" s="1">
        <f>F12 * 12</f>
        <v>53002210.895999998</v>
      </c>
      <c r="H12" s="1">
        <f>$B$7 - F12</f>
        <v>-616850.90799999982</v>
      </c>
      <c r="J12" s="2">
        <v>0.01</v>
      </c>
      <c r="K12" s="1">
        <f t="dataTable" ref="K12:O17" dt2D="1" dtr="1" r1="B5" r2="B6"/>
        <v>67278368.684722856</v>
      </c>
      <c r="L12" s="1">
        <v>70988537.968616128</v>
      </c>
      <c r="M12" s="1">
        <v>77344574.998957127</v>
      </c>
      <c r="N12" s="1">
        <v>83358178.096290186</v>
      </c>
      <c r="O12" s="1">
        <v>92742057.98175627</v>
      </c>
    </row>
    <row r="13" spans="1:15" x14ac:dyDescent="0.25">
      <c r="A13">
        <f>A12 + 1</f>
        <v>2</v>
      </c>
      <c r="B13" s="1">
        <f>F12</f>
        <v>4416850.9079999998</v>
      </c>
      <c r="C13" s="1">
        <f>$B$4</f>
        <v>85000</v>
      </c>
      <c r="D13" s="1">
        <f>B13 * $B$5</f>
        <v>123671.825424</v>
      </c>
      <c r="E13" s="1">
        <f>B13 * $B$6</f>
        <v>83920.167251999999</v>
      </c>
      <c r="F13" s="1">
        <f>B13 + C13 + D13 - E13</f>
        <v>4541602.5661719991</v>
      </c>
      <c r="G13" s="1">
        <f>F13 * 12</f>
        <v>54499230.794063985</v>
      </c>
      <c r="H13" s="1">
        <f>$B$7 - F13</f>
        <v>-741602.56617199909</v>
      </c>
      <c r="J13" s="2">
        <v>1.4999999999999999E-2</v>
      </c>
      <c r="K13" s="1">
        <v>63758544</v>
      </c>
      <c r="L13" s="1">
        <v>67278368.684722841</v>
      </c>
      <c r="M13" s="1">
        <v>73309935.704284981</v>
      </c>
      <c r="N13" s="1">
        <v>79018302.218499273</v>
      </c>
      <c r="O13" s="1">
        <v>87928995.135233968</v>
      </c>
    </row>
    <row r="14" spans="1:15" x14ac:dyDescent="0.25">
      <c r="A14">
        <f t="shared" ref="A14:A23" si="0">A13 + 1</f>
        <v>3</v>
      </c>
      <c r="B14" s="1">
        <f t="shared" ref="B14:B23" si="1">F13</f>
        <v>4541602.5661719991</v>
      </c>
      <c r="C14" s="1">
        <f t="shared" ref="C14:C23" si="2">$B$4</f>
        <v>85000</v>
      </c>
      <c r="D14" s="1">
        <f t="shared" ref="D14:D23" si="3">B14 * $B$5</f>
        <v>127164.87185281598</v>
      </c>
      <c r="E14" s="1">
        <f t="shared" ref="E14:E23" si="4">B14 * $B$6</f>
        <v>86290.448757267979</v>
      </c>
      <c r="F14" s="1">
        <f t="shared" ref="F14:F23" si="5">B14 + C14 + D14 - E14</f>
        <v>4667476.9892675476</v>
      </c>
      <c r="G14" s="1">
        <f t="shared" ref="G14:G23" si="6">F14 * 12</f>
        <v>56009723.871210575</v>
      </c>
      <c r="H14" s="1">
        <f t="shared" ref="H14:H23" si="7">$B$7 - F14</f>
        <v>-867476.98926754761</v>
      </c>
      <c r="J14" s="2">
        <v>1.9E-2</v>
      </c>
      <c r="K14" s="1">
        <v>61073616.868451983</v>
      </c>
      <c r="L14" s="1">
        <v>64447723.017234981</v>
      </c>
      <c r="M14" s="1">
        <v>70230827.012103334</v>
      </c>
      <c r="N14" s="1">
        <v>75705389.445229962</v>
      </c>
      <c r="O14" s="1">
        <v>84253511.494988874</v>
      </c>
    </row>
    <row r="15" spans="1:15" x14ac:dyDescent="0.25">
      <c r="A15">
        <f t="shared" si="0"/>
        <v>4</v>
      </c>
      <c r="B15" s="1">
        <f t="shared" si="1"/>
        <v>4667476.9892675476</v>
      </c>
      <c r="C15" s="1">
        <f t="shared" si="2"/>
        <v>85000</v>
      </c>
      <c r="D15" s="1">
        <f t="shared" si="3"/>
        <v>130689.35569949134</v>
      </c>
      <c r="E15" s="1">
        <f t="shared" si="4"/>
        <v>88682.062796083395</v>
      </c>
      <c r="F15" s="1">
        <f t="shared" si="5"/>
        <v>4794484.282170956</v>
      </c>
      <c r="G15" s="1">
        <f t="shared" si="6"/>
        <v>57533811.386051476</v>
      </c>
      <c r="H15" s="1">
        <f t="shared" si="7"/>
        <v>-994484.28217095602</v>
      </c>
      <c r="J15" s="2">
        <v>2.5000000000000001E-2</v>
      </c>
      <c r="K15" s="1">
        <v>57254001.099396601</v>
      </c>
      <c r="L15" s="1">
        <v>60419983.398889095</v>
      </c>
      <c r="M15" s="1">
        <v>65848114.992837846</v>
      </c>
      <c r="N15" s="1">
        <v>70988537.968616128</v>
      </c>
      <c r="O15" s="1">
        <v>79018302.218499288</v>
      </c>
    </row>
    <row r="16" spans="1:15" x14ac:dyDescent="0.25">
      <c r="A16">
        <f t="shared" si="0"/>
        <v>5</v>
      </c>
      <c r="B16" s="1">
        <f t="shared" si="1"/>
        <v>4794484.282170956</v>
      </c>
      <c r="C16" s="1">
        <f t="shared" si="2"/>
        <v>85000</v>
      </c>
      <c r="D16" s="1">
        <f t="shared" si="3"/>
        <v>134245.55990078679</v>
      </c>
      <c r="E16" s="1">
        <f t="shared" si="4"/>
        <v>91095.201361248168</v>
      </c>
      <c r="F16" s="1">
        <f t="shared" si="5"/>
        <v>4922634.6407104945</v>
      </c>
      <c r="G16" s="1">
        <f t="shared" si="6"/>
        <v>59071615.68852593</v>
      </c>
      <c r="H16" s="1">
        <f t="shared" si="7"/>
        <v>-1122634.6407104945</v>
      </c>
      <c r="J16" s="2">
        <v>0.03</v>
      </c>
      <c r="K16" s="1">
        <v>54252290.665596426</v>
      </c>
      <c r="L16" s="1">
        <v>57254001.099396572</v>
      </c>
      <c r="M16" s="1">
        <v>62401863.147398137</v>
      </c>
      <c r="N16" s="1">
        <v>67278368.684722841</v>
      </c>
      <c r="O16" s="1">
        <v>74898543.033025086</v>
      </c>
    </row>
    <row r="17" spans="1:15" x14ac:dyDescent="0.25">
      <c r="A17">
        <f t="shared" si="0"/>
        <v>6</v>
      </c>
      <c r="B17" s="1">
        <f t="shared" si="1"/>
        <v>4922634.6407104945</v>
      </c>
      <c r="C17" s="1">
        <f t="shared" si="2"/>
        <v>85000</v>
      </c>
      <c r="D17" s="1">
        <f t="shared" si="3"/>
        <v>137833.76993989386</v>
      </c>
      <c r="E17" s="1">
        <f t="shared" si="4"/>
        <v>93530.05817349939</v>
      </c>
      <c r="F17" s="1">
        <f t="shared" si="5"/>
        <v>5051938.3524768893</v>
      </c>
      <c r="G17" s="1">
        <f t="shared" si="6"/>
        <v>60623260.229722671</v>
      </c>
      <c r="H17" s="1">
        <f t="shared" si="7"/>
        <v>-1251938.3524768893</v>
      </c>
      <c r="J17" s="2">
        <v>3.5000000000000003E-2</v>
      </c>
      <c r="K17" s="1">
        <v>51406910.148792312</v>
      </c>
      <c r="L17" s="1">
        <v>54252290.665596455</v>
      </c>
      <c r="M17" s="1">
        <v>59133354.578472167</v>
      </c>
      <c r="N17" s="1">
        <v>63758544</v>
      </c>
      <c r="O17" s="1">
        <v>70988537.968616098</v>
      </c>
    </row>
    <row r="18" spans="1:15" x14ac:dyDescent="0.25">
      <c r="A18">
        <f t="shared" si="0"/>
        <v>7</v>
      </c>
      <c r="B18" s="1">
        <f t="shared" si="1"/>
        <v>5051938.3524768893</v>
      </c>
      <c r="C18" s="1">
        <f t="shared" si="2"/>
        <v>85000</v>
      </c>
      <c r="D18" s="1">
        <f t="shared" si="3"/>
        <v>141454.27386935291</v>
      </c>
      <c r="E18" s="1">
        <f t="shared" si="4"/>
        <v>95986.82869706089</v>
      </c>
      <c r="F18" s="1">
        <f t="shared" si="5"/>
        <v>5182405.7976491814</v>
      </c>
      <c r="G18" s="1">
        <f t="shared" si="6"/>
        <v>62188869.571790174</v>
      </c>
      <c r="H18" s="1">
        <f t="shared" si="7"/>
        <v>-1382405.7976491814</v>
      </c>
    </row>
    <row r="19" spans="1:15" x14ac:dyDescent="0.25">
      <c r="A19">
        <f t="shared" si="0"/>
        <v>8</v>
      </c>
      <c r="B19" s="1">
        <f t="shared" si="1"/>
        <v>5182405.7976491814</v>
      </c>
      <c r="C19" s="1">
        <f t="shared" si="2"/>
        <v>85000</v>
      </c>
      <c r="D19" s="1">
        <f t="shared" si="3"/>
        <v>145107.36233417707</v>
      </c>
      <c r="E19" s="1">
        <f t="shared" si="4"/>
        <v>98465.71015533444</v>
      </c>
      <c r="F19" s="1">
        <f t="shared" si="5"/>
        <v>5314047.449828024</v>
      </c>
      <c r="G19" s="1">
        <f t="shared" si="6"/>
        <v>63768569.397936285</v>
      </c>
      <c r="H19" s="1">
        <f t="shared" si="7"/>
        <v>-1514047.449828024</v>
      </c>
    </row>
    <row r="20" spans="1:15" x14ac:dyDescent="0.25">
      <c r="A20">
        <f t="shared" si="0"/>
        <v>9</v>
      </c>
      <c r="B20" s="1">
        <f t="shared" si="1"/>
        <v>5314047.449828024</v>
      </c>
      <c r="C20" s="1">
        <f t="shared" si="2"/>
        <v>85000</v>
      </c>
      <c r="D20" s="1">
        <f t="shared" si="3"/>
        <v>148793.32859518466</v>
      </c>
      <c r="E20" s="1">
        <f t="shared" si="4"/>
        <v>100966.90154673245</v>
      </c>
      <c r="F20" s="1">
        <f t="shared" si="5"/>
        <v>5446873.8768764762</v>
      </c>
      <c r="G20" s="1">
        <f t="shared" si="6"/>
        <v>65362486.522517711</v>
      </c>
      <c r="H20" s="1">
        <f t="shared" si="7"/>
        <v>-1646873.8768764762</v>
      </c>
    </row>
    <row r="21" spans="1:15" x14ac:dyDescent="0.25">
      <c r="A21">
        <f t="shared" si="0"/>
        <v>10</v>
      </c>
      <c r="B21" s="1">
        <f t="shared" si="1"/>
        <v>5446873.8768764762</v>
      </c>
      <c r="C21" s="1">
        <f t="shared" si="2"/>
        <v>85000</v>
      </c>
      <c r="D21" s="1">
        <f t="shared" si="3"/>
        <v>152512.46855254134</v>
      </c>
      <c r="E21" s="1">
        <f t="shared" si="4"/>
        <v>103490.60366065304</v>
      </c>
      <c r="F21" s="1">
        <f t="shared" si="5"/>
        <v>5580895.7417683639</v>
      </c>
      <c r="G21" s="1">
        <f t="shared" si="6"/>
        <v>66970748.901220366</v>
      </c>
      <c r="H21" s="1">
        <f t="shared" si="7"/>
        <v>-1780895.7417683639</v>
      </c>
    </row>
    <row r="22" spans="1:15" x14ac:dyDescent="0.25">
      <c r="A22">
        <f t="shared" si="0"/>
        <v>11</v>
      </c>
      <c r="B22" s="1">
        <f t="shared" si="1"/>
        <v>5580895.7417683639</v>
      </c>
      <c r="C22" s="1">
        <f t="shared" si="2"/>
        <v>85000</v>
      </c>
      <c r="D22" s="1">
        <f t="shared" si="3"/>
        <v>156265.0807695142</v>
      </c>
      <c r="E22" s="1">
        <f t="shared" si="4"/>
        <v>106037.01909359891</v>
      </c>
      <c r="F22" s="1">
        <f t="shared" si="5"/>
        <v>5716123.8034442794</v>
      </c>
      <c r="G22" s="1">
        <f t="shared" si="6"/>
        <v>68593485.641331345</v>
      </c>
      <c r="H22" s="1">
        <f t="shared" si="7"/>
        <v>-1916123.8034442794</v>
      </c>
    </row>
    <row r="23" spans="1:15" x14ac:dyDescent="0.25">
      <c r="A23">
        <f t="shared" si="0"/>
        <v>12</v>
      </c>
      <c r="B23" s="1">
        <f t="shared" si="1"/>
        <v>5716123.8034442794</v>
      </c>
      <c r="C23" s="1">
        <f t="shared" si="2"/>
        <v>85000</v>
      </c>
      <c r="D23" s="1">
        <f t="shared" si="3"/>
        <v>160051.46649643983</v>
      </c>
      <c r="E23" s="1">
        <f t="shared" si="4"/>
        <v>108606.35226544131</v>
      </c>
      <c r="F23" s="1">
        <f t="shared" si="5"/>
        <v>5852568.9176752781</v>
      </c>
      <c r="G23" s="1">
        <f t="shared" si="6"/>
        <v>70230827.012103334</v>
      </c>
      <c r="H23" s="1">
        <f t="shared" si="7"/>
        <v>-2052568.9176752781</v>
      </c>
    </row>
  </sheetData>
  <mergeCells count="1">
    <mergeCell ref="L10:N10"/>
  </mergeCells>
  <conditionalFormatting sqref="K12:O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01_MRR_Forecast_Model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Tomer</dc:creator>
  <cp:lastModifiedBy>Vishnu Tomer</cp:lastModifiedBy>
  <dcterms:created xsi:type="dcterms:W3CDTF">2026-10-23T16:30:38Z</dcterms:created>
  <dcterms:modified xsi:type="dcterms:W3CDTF">2026-10-23T16:56:00Z</dcterms:modified>
</cp:coreProperties>
</file>